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03\Desktop\Books-5-Filnal-Project\"/>
    </mc:Choice>
  </mc:AlternateContent>
  <xr:revisionPtr revIDLastSave="0" documentId="13_ncr:1_{10CEBBF4-E48E-41E5-8607-3786971001C4}" xr6:coauthVersionLast="47" xr6:coauthVersionMax="47" xr10:uidLastSave="{00000000-0000-0000-0000-000000000000}"/>
  <bookViews>
    <workbookView xWindow="-120" yWindow="-120" windowWidth="29040" windowHeight="15840" xr2:uid="{8D22AF54-B08C-462B-8C29-ED1A51322FBC}"/>
  </bookViews>
  <sheets>
    <sheet name="ผลการประเมิน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P6" i="1"/>
  <c r="O6" i="1"/>
  <c r="D21" i="1"/>
  <c r="E21" i="1"/>
  <c r="F21" i="1"/>
  <c r="G21" i="1"/>
  <c r="C21" i="1"/>
  <c r="D15" i="1"/>
  <c r="E15" i="1"/>
  <c r="F15" i="1"/>
  <c r="G15" i="1"/>
  <c r="C15" i="1"/>
  <c r="D9" i="1"/>
  <c r="E9" i="1"/>
  <c r="F9" i="1"/>
  <c r="G9" i="1"/>
  <c r="C9" i="1"/>
  <c r="H18" i="1"/>
  <c r="J18" i="1" s="1"/>
  <c r="H19" i="1"/>
  <c r="H20" i="1"/>
  <c r="H17" i="1"/>
  <c r="H12" i="1"/>
  <c r="J12" i="1" s="1"/>
  <c r="H13" i="1"/>
  <c r="H14" i="1"/>
  <c r="H11" i="1"/>
  <c r="H6" i="1"/>
  <c r="H7" i="1"/>
  <c r="J7" i="1" s="1"/>
  <c r="H8" i="1"/>
  <c r="J8" i="1" s="1"/>
  <c r="H5" i="1"/>
  <c r="H9" i="1" l="1"/>
  <c r="H21" i="1"/>
  <c r="I5" i="1"/>
  <c r="K5" i="1" s="1"/>
  <c r="K14" i="1"/>
  <c r="H15" i="1"/>
  <c r="J6" i="1"/>
  <c r="I8" i="1"/>
  <c r="L8" i="1" s="1"/>
  <c r="I11" i="1"/>
  <c r="I17" i="1"/>
  <c r="J5" i="1"/>
  <c r="J11" i="1"/>
  <c r="J17" i="1"/>
  <c r="L5" i="1"/>
  <c r="I12" i="1"/>
  <c r="L12" i="1" s="1"/>
  <c r="I7" i="1"/>
  <c r="L7" i="1" s="1"/>
  <c r="I14" i="1"/>
  <c r="L14" i="1" s="1"/>
  <c r="I20" i="1"/>
  <c r="L20" i="1" s="1"/>
  <c r="J14" i="1"/>
  <c r="J20" i="1"/>
  <c r="K7" i="1"/>
  <c r="I18" i="1"/>
  <c r="L18" i="1" s="1"/>
  <c r="I6" i="1"/>
  <c r="L6" i="1" s="1"/>
  <c r="I13" i="1"/>
  <c r="L13" i="1" s="1"/>
  <c r="I19" i="1"/>
  <c r="L19" i="1" s="1"/>
  <c r="J13" i="1"/>
  <c r="J19" i="1"/>
  <c r="K13" i="1" l="1"/>
  <c r="K8" i="1"/>
  <c r="K18" i="1"/>
  <c r="J21" i="1"/>
  <c r="J15" i="1"/>
  <c r="K6" i="1"/>
  <c r="K9" i="1" s="1"/>
  <c r="I21" i="1"/>
  <c r="L17" i="1"/>
  <c r="L11" i="1"/>
  <c r="I15" i="1"/>
  <c r="K11" i="1"/>
  <c r="I9" i="1"/>
  <c r="K17" i="1"/>
  <c r="J9" i="1"/>
  <c r="K12" i="1"/>
  <c r="K20" i="1"/>
  <c r="K19" i="1"/>
  <c r="L21" i="1" l="1"/>
  <c r="Q5" i="1"/>
  <c r="L9" i="1"/>
  <c r="Q3" i="1"/>
  <c r="Q4" i="1"/>
  <c r="L15" i="1"/>
  <c r="K15" i="1"/>
  <c r="K21" i="1"/>
</calcChain>
</file>

<file path=xl/sharedStrings.xml><?xml version="1.0" encoding="utf-8"?>
<sst xmlns="http://schemas.openxmlformats.org/spreadsheetml/2006/main" count="43" uniqueCount="37">
  <si>
    <t>แบบประเมินความพึงพอใจ</t>
  </si>
  <si>
    <t>ลำดับ</t>
  </si>
  <si>
    <t>ระดับความพึงพอใจ</t>
  </si>
  <si>
    <t>N</t>
  </si>
  <si>
    <t>ค่าเฉลี่ย</t>
  </si>
  <si>
    <t>ร้อยละ</t>
  </si>
  <si>
    <t>S.D.</t>
  </si>
  <si>
    <t>เกณฑ์การประเมิน</t>
  </si>
  <si>
    <t>ด้านการออกแบบและการจัดรูปแบบ</t>
  </si>
  <si>
    <t>รวม</t>
  </si>
  <si>
    <t>รูปแบบการใช้งานระบบ ความง่ายในการเข้าถึงระบบ</t>
  </si>
  <si>
    <t>มีการจัดการระบบข้อมูลเป็นหมวดหมู่</t>
  </si>
  <si>
    <t>กระบวนการทำงานของระบบมีความรวดเร็วในการเรียกใช้งาน</t>
  </si>
  <si>
    <t>ความพึงพอใจต่อระบบซื้อ - ขายสินค้าบนออนไลน์อินเทอร์เน็ต</t>
  </si>
  <si>
    <t>การออกแบบให้ใช้งานง่าย เมนูไม่ซับซ้อน</t>
  </si>
  <si>
    <t>ด้านคุณภาพของเนื้อหา</t>
  </si>
  <si>
    <t>ด้านประสิทธิภาพ</t>
  </si>
  <si>
    <t>ความสะดวกในการเชื่อมโยงข้อมูลภายในเว็บไซต์</t>
  </si>
  <si>
    <t>ความรวดเร็วในการเข้าถึงเว็บไซต์</t>
  </si>
  <si>
    <t>ความเหมาะสมของข้อมูลภายในเว็บไซต์</t>
  </si>
  <si>
    <t>ความถูกต้องครบถ้วนของข้อมูล</t>
  </si>
  <si>
    <t>ได้ผลลัพธ์ในการสืบค้นข้อมูลที่รวดเร็วตรงกับความต้องการ</t>
  </si>
  <si>
    <t>ใช้เวลาในการดาวน์โหลดที่รวดเร็ว</t>
  </si>
  <si>
    <t>มีความถูกต้องในการโยงเยืองข้อมูล</t>
  </si>
  <si>
    <t>ความพึงพอใจในภาพรวมต่อการใช้งานระบบ</t>
  </si>
  <si>
    <t>ข้อมูลสิทธิ์การเข้าใช้งานระบบ</t>
  </si>
  <si>
    <t>สิทธิ์</t>
  </si>
  <si>
    <t>จำนวน</t>
  </si>
  <si>
    <t>ผู้ดูแลระบบ</t>
  </si>
  <si>
    <t>ลูกค้าทั่วไป</t>
  </si>
  <si>
    <t>ความพึงพอใจทั้ง 3 ด้าน</t>
  </si>
  <si>
    <t>เฉลี่ยรวม</t>
  </si>
  <si>
    <t>เกณ์การประเมิน</t>
  </si>
  <si>
    <t>1. ความพึงพอใจด้านการออกแบบและการจัดรูปแบบ</t>
  </si>
  <si>
    <t>2. ความพึงพอใจด้านคุณภาพของเนื้อหา</t>
  </si>
  <si>
    <t>3. ความพึงพอใจด้านประสิทธิภาพ</t>
  </si>
  <si>
    <t>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</si>
</sst>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611E-B506-4C20-9325-4E68B9945EED}">
  <dimension ref="A1:U21"/>
  <sheetViews>
    <sheetView tabSelected="1" zoomScale="70" zoomScaleNormal="70" workbookViewId="0">
      <selection activeCell="S8" sqref="S8"/>
    </sheetView>
  </sheetViews>
  <sheetFormatPr defaultRowHeight="24" x14ac:dyDescent="0.2"/>
  <cols>
    <col min="1" max="1" width="5" style="2" bestFit="1" customWidth="1"/>
    <col min="2" max="2" width="45.625" style="3" bestFit="1" customWidth="1"/>
    <col min="3" max="10" width="9" style="3"/>
    <col min="11" max="11" width="10.25" style="3" bestFit="1" customWidth="1"/>
    <col min="12" max="12" width="13.875" style="3" bestFit="1" customWidth="1"/>
    <col min="13" max="13" width="9" style="3"/>
    <col min="14" max="14" width="38" style="3" bestFit="1" customWidth="1"/>
    <col min="15" max="16" width="9" style="3"/>
    <col min="17" max="17" width="12.25" style="3" bestFit="1" customWidth="1"/>
    <col min="18" max="18" width="9" style="3"/>
    <col min="19" max="19" width="9.375" style="3" bestFit="1" customWidth="1"/>
    <col min="20" max="16384" width="9" style="3"/>
  </cols>
  <sheetData>
    <row r="1" spans="1:2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21" s="2" customFormat="1" x14ac:dyDescent="0.2">
      <c r="A2" s="18" t="s">
        <v>1</v>
      </c>
      <c r="B2" s="18" t="s">
        <v>13</v>
      </c>
      <c r="C2" s="20" t="s">
        <v>2</v>
      </c>
      <c r="D2" s="21"/>
      <c r="E2" s="21"/>
      <c r="F2" s="21"/>
      <c r="G2" s="22"/>
      <c r="H2" s="18" t="s">
        <v>3</v>
      </c>
      <c r="I2" s="18" t="s">
        <v>4</v>
      </c>
      <c r="J2" s="18" t="s">
        <v>5</v>
      </c>
      <c r="K2" s="18" t="s">
        <v>6</v>
      </c>
      <c r="L2" s="18" t="s">
        <v>7</v>
      </c>
      <c r="N2" s="6" t="s">
        <v>30</v>
      </c>
      <c r="O2" s="6" t="s">
        <v>4</v>
      </c>
      <c r="P2" s="6" t="s">
        <v>6</v>
      </c>
      <c r="Q2" s="6" t="s">
        <v>32</v>
      </c>
      <c r="S2" s="24" t="s">
        <v>25</v>
      </c>
      <c r="T2" s="25"/>
      <c r="U2" s="26"/>
    </row>
    <row r="3" spans="1:21" s="2" customFormat="1" x14ac:dyDescent="0.55000000000000004">
      <c r="A3" s="19"/>
      <c r="B3" s="19"/>
      <c r="C3" s="6">
        <v>5</v>
      </c>
      <c r="D3" s="6">
        <v>4</v>
      </c>
      <c r="E3" s="6">
        <v>3</v>
      </c>
      <c r="F3" s="6">
        <v>2</v>
      </c>
      <c r="G3" s="6">
        <v>1</v>
      </c>
      <c r="H3" s="19"/>
      <c r="I3" s="19"/>
      <c r="J3" s="19"/>
      <c r="K3" s="19"/>
      <c r="L3" s="19"/>
      <c r="N3" s="30" t="s">
        <v>33</v>
      </c>
      <c r="O3" s="33">
        <v>4.1500000000000004</v>
      </c>
      <c r="P3" s="33">
        <v>0.34</v>
      </c>
      <c r="Q3" s="31" t="str">
        <f>IF(I9&gt;=4.51,"มากที่สุด",IF(I9&gt;=3.51,"มาก",IF(I9&gt;=2.51,"ปานกลาง",IF(I9&gt;=1.51,"น้อย",IF(I9&gt;=1,"น้อยที่สุด")))))</f>
        <v>มาก</v>
      </c>
      <c r="S3" s="27" t="s">
        <v>26</v>
      </c>
      <c r="T3" s="27" t="s">
        <v>27</v>
      </c>
      <c r="U3" s="27" t="s">
        <v>5</v>
      </c>
    </row>
    <row r="4" spans="1:21" x14ac:dyDescent="0.55000000000000004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N4" s="30" t="s">
        <v>34</v>
      </c>
      <c r="O4" s="33">
        <v>3.75</v>
      </c>
      <c r="P4" s="33">
        <v>0.56999999999999995</v>
      </c>
      <c r="Q4" s="31" t="str">
        <f>IF(I15&gt;=4.51,"มากที่สุด",IF(I15&gt;=3.51,"มาก",IF(I15&gt;=2.51,"ปานกลาง",IF(I15&gt;=1.51,"น้อย",IF(I15&gt;=1,"น้อยที่สุด")))))</f>
        <v>มาก</v>
      </c>
      <c r="S4" s="23" t="s">
        <v>28</v>
      </c>
      <c r="T4" s="23">
        <v>5</v>
      </c>
      <c r="U4" s="23">
        <f>(T4*100/T6)</f>
        <v>25</v>
      </c>
    </row>
    <row r="5" spans="1:21" x14ac:dyDescent="0.55000000000000004">
      <c r="A5" s="1">
        <v>1</v>
      </c>
      <c r="B5" s="4" t="s">
        <v>10</v>
      </c>
      <c r="C5" s="5">
        <v>2</v>
      </c>
      <c r="D5" s="5">
        <v>3</v>
      </c>
      <c r="E5" s="5">
        <v>0</v>
      </c>
      <c r="F5" s="5">
        <v>0</v>
      </c>
      <c r="G5" s="5">
        <v>0</v>
      </c>
      <c r="H5" s="5">
        <f>SUM(C5:G5)</f>
        <v>5</v>
      </c>
      <c r="I5" s="8">
        <f>((5*C5)+(4*D5)+(3*E5)+(2*F5)+(1*G5))/H5</f>
        <v>4.4000000000000004</v>
      </c>
      <c r="J5" s="8">
        <f>((5*C5)+(4*D5)+(3*E5)+(2*F5)+(1*G5))*100/(H5*5)</f>
        <v>88</v>
      </c>
      <c r="K5" s="8">
        <f>SQRT(((25*C5)+(16*D5)+(9*E5)+(4*F5)+(1*G5))/H5-(I5^2))</f>
        <v>0.48989794855663404</v>
      </c>
      <c r="L5" s="5" t="str">
        <f>IF(I5&gt;=4.51,"มากที่สุด",IF(I5&gt;=3.51,"มาก",IF(I5&gt;=2.51,"ปานกลาง",IF(I5&gt;=1.51,"น้อย",IF(I5&gt;=1,"น้อยที่สุด")))))</f>
        <v>มาก</v>
      </c>
      <c r="N5" s="30" t="s">
        <v>35</v>
      </c>
      <c r="O5" s="33">
        <v>4.2</v>
      </c>
      <c r="P5" s="33">
        <v>0.54</v>
      </c>
      <c r="Q5" s="31" t="str">
        <f>IF(I21&gt;=4.51,"มากที่สุด",IF(I21&gt;=3.51,"มาก",IF(I21&gt;=2.51,"ปานกลาง",IF(I21&gt;=1.51,"น้อย",IF(I21&gt;=1,"น้อยที่สุด")))))</f>
        <v>มาก</v>
      </c>
      <c r="S5" s="23" t="s">
        <v>29</v>
      </c>
      <c r="T5" s="23">
        <v>15</v>
      </c>
      <c r="U5" s="23">
        <f>(T5*100/T6)</f>
        <v>75</v>
      </c>
    </row>
    <row r="6" spans="1:21" x14ac:dyDescent="0.55000000000000004">
      <c r="A6" s="1">
        <v>2</v>
      </c>
      <c r="B6" s="4" t="s">
        <v>11</v>
      </c>
      <c r="C6" s="5">
        <v>0</v>
      </c>
      <c r="D6" s="5">
        <v>5</v>
      </c>
      <c r="E6" s="5">
        <v>0</v>
      </c>
      <c r="F6" s="5">
        <v>0</v>
      </c>
      <c r="G6" s="5">
        <v>0</v>
      </c>
      <c r="H6" s="5">
        <f t="shared" ref="H6:H8" si="0">SUM(C6:G6)</f>
        <v>5</v>
      </c>
      <c r="I6" s="8">
        <f t="shared" ref="I6:I8" si="1">((5*C6)+(4*D6)+(3*E6)+(2*F6)+(1*G6))/H6</f>
        <v>4</v>
      </c>
      <c r="J6" s="8">
        <f t="shared" ref="J6:J8" si="2">((5*C6)+(4*D6)+(3*E6)+(2*F6)+(1*G6))*100/(H6*5)</f>
        <v>80</v>
      </c>
      <c r="K6" s="8">
        <f t="shared" ref="K6:K8" si="3">SQRT(((25*C6)+(16*D6)+(9*E6)+(4*F6)+(1*G6))/H6-(I6^2))</f>
        <v>0</v>
      </c>
      <c r="L6" s="5" t="str">
        <f t="shared" ref="L6:L9" si="4">IF(I6&gt;=4.51,"มากที่สุด",IF(I6&gt;=3.51,"มาก",IF(I6&gt;=2.51,"ปานกลาง",IF(I6&gt;=1.51,"น้อย",IF(I6&gt;=1,"น้อยที่สุด")))))</f>
        <v>มาก</v>
      </c>
      <c r="N6" s="29" t="s">
        <v>31</v>
      </c>
      <c r="O6" s="32">
        <f>AVERAGE(O3:O5)</f>
        <v>4.0333333333333341</v>
      </c>
      <c r="P6" s="32">
        <f>AVERAGE(P3:P5)</f>
        <v>0.48333333333333334</v>
      </c>
      <c r="Q6" s="29" t="s">
        <v>36</v>
      </c>
      <c r="S6" s="27" t="s">
        <v>9</v>
      </c>
      <c r="T6" s="27">
        <v>20</v>
      </c>
      <c r="U6" s="28">
        <v>1</v>
      </c>
    </row>
    <row r="7" spans="1:21" x14ac:dyDescent="0.2">
      <c r="A7" s="1">
        <v>3</v>
      </c>
      <c r="B7" s="4" t="s">
        <v>12</v>
      </c>
      <c r="C7" s="5">
        <v>0</v>
      </c>
      <c r="D7" s="5">
        <v>4</v>
      </c>
      <c r="E7" s="5">
        <v>1</v>
      </c>
      <c r="F7" s="5">
        <v>0</v>
      </c>
      <c r="G7" s="5">
        <v>0</v>
      </c>
      <c r="H7" s="5">
        <f t="shared" si="0"/>
        <v>5</v>
      </c>
      <c r="I7" s="8">
        <f t="shared" si="1"/>
        <v>3.8</v>
      </c>
      <c r="J7" s="8">
        <f t="shared" si="2"/>
        <v>76</v>
      </c>
      <c r="K7" s="8">
        <f t="shared" si="3"/>
        <v>0.40000000000000019</v>
      </c>
      <c r="L7" s="5" t="str">
        <f t="shared" si="4"/>
        <v>มาก</v>
      </c>
    </row>
    <row r="8" spans="1:21" x14ac:dyDescent="0.2">
      <c r="A8" s="1">
        <v>4</v>
      </c>
      <c r="B8" s="4" t="s">
        <v>14</v>
      </c>
      <c r="C8" s="5">
        <v>2</v>
      </c>
      <c r="D8" s="5">
        <v>3</v>
      </c>
      <c r="E8" s="5">
        <v>0</v>
      </c>
      <c r="F8" s="5">
        <v>0</v>
      </c>
      <c r="G8" s="5">
        <v>0</v>
      </c>
      <c r="H8" s="5">
        <f t="shared" si="0"/>
        <v>5</v>
      </c>
      <c r="I8" s="8">
        <f t="shared" si="1"/>
        <v>4.4000000000000004</v>
      </c>
      <c r="J8" s="8">
        <f t="shared" si="2"/>
        <v>88</v>
      </c>
      <c r="K8" s="8">
        <f t="shared" si="3"/>
        <v>0.48989794855663404</v>
      </c>
      <c r="L8" s="5" t="str">
        <f t="shared" si="4"/>
        <v>มาก</v>
      </c>
    </row>
    <row r="9" spans="1:21" x14ac:dyDescent="0.2">
      <c r="A9" s="13" t="s">
        <v>9</v>
      </c>
      <c r="B9" s="14"/>
      <c r="C9" s="7">
        <f>SUM(C5:C8)</f>
        <v>4</v>
      </c>
      <c r="D9" s="7">
        <f t="shared" ref="D9:H9" si="5">SUM(D5:D8)</f>
        <v>15</v>
      </c>
      <c r="E9" s="7">
        <f t="shared" si="5"/>
        <v>1</v>
      </c>
      <c r="F9" s="7">
        <f t="shared" si="5"/>
        <v>0</v>
      </c>
      <c r="G9" s="7">
        <f t="shared" si="5"/>
        <v>0</v>
      </c>
      <c r="H9" s="7">
        <f t="shared" si="5"/>
        <v>20</v>
      </c>
      <c r="I9" s="9">
        <f>AVERAGE(I5:I8)</f>
        <v>4.1500000000000004</v>
      </c>
      <c r="J9" s="9">
        <f t="shared" ref="J9:K9" si="6">AVERAGE(J5:J8)</f>
        <v>83</v>
      </c>
      <c r="K9" s="9">
        <f t="shared" si="6"/>
        <v>0.34494897427831706</v>
      </c>
      <c r="L9" s="7" t="str">
        <f t="shared" si="4"/>
        <v>มาก</v>
      </c>
    </row>
    <row r="10" spans="1:21" x14ac:dyDescent="0.2">
      <c r="A10" s="10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21" x14ac:dyDescent="0.2">
      <c r="A11" s="1">
        <v>1</v>
      </c>
      <c r="B11" s="4" t="s">
        <v>17</v>
      </c>
      <c r="C11" s="5">
        <v>1</v>
      </c>
      <c r="D11" s="5">
        <v>1</v>
      </c>
      <c r="E11" s="5">
        <v>3</v>
      </c>
      <c r="F11" s="5">
        <v>0</v>
      </c>
      <c r="G11" s="5">
        <v>0</v>
      </c>
      <c r="H11" s="5">
        <f>SUM(C11:G11)</f>
        <v>5</v>
      </c>
      <c r="I11" s="8">
        <f>((5*C11)+(4*D11)+(3*E11)+(2*F11)+(1*G11))/H11</f>
        <v>3.6</v>
      </c>
      <c r="J11" s="8">
        <f>((5*C11)+(4*D11)+(3*E11)+(2*F11)+(1*G11))*100/(H11*5)</f>
        <v>72</v>
      </c>
      <c r="K11" s="8">
        <f>SQRT(((25*C11)+(16*D11)+(9*E11)+(4*F11)+(1*G11))/H11-(I11^2))</f>
        <v>0.79999999999999927</v>
      </c>
      <c r="L11" s="5" t="str">
        <f>IF(I11&gt;=4.51,"มากที่สุด",IF(I11&gt;=3.51,"มาก",IF(I11&gt;=2.51,"ปานกลาง",IF(I11&gt;=1.51,"น้อย",IF(I11&gt;=1,"น้อยที่สุด")))))</f>
        <v>มาก</v>
      </c>
    </row>
    <row r="12" spans="1:21" x14ac:dyDescent="0.2">
      <c r="A12" s="1">
        <v>2</v>
      </c>
      <c r="B12" s="4" t="s">
        <v>18</v>
      </c>
      <c r="C12" s="5">
        <v>0</v>
      </c>
      <c r="D12" s="5">
        <v>2</v>
      </c>
      <c r="E12" s="5">
        <v>3</v>
      </c>
      <c r="F12" s="5">
        <v>0</v>
      </c>
      <c r="G12" s="5">
        <v>0</v>
      </c>
      <c r="H12" s="5">
        <f t="shared" ref="H12:H14" si="7">SUM(C12:G12)</f>
        <v>5</v>
      </c>
      <c r="I12" s="8">
        <f t="shared" ref="I12:I14" si="8">((5*C12)+(4*D12)+(3*E12)+(2*F12)+(1*G12))/H12</f>
        <v>3.4</v>
      </c>
      <c r="J12" s="8">
        <f t="shared" ref="J12:J14" si="9">((5*C12)+(4*D12)+(3*E12)+(2*F12)+(1*G12))*100/(H12*5)</f>
        <v>68</v>
      </c>
      <c r="K12" s="8">
        <f t="shared" ref="K12:K14" si="10">SQRT(((25*C12)+(16*D12)+(9*E12)+(4*F12)+(1*G12))/H12-(I12^2))</f>
        <v>0.48989794855663765</v>
      </c>
      <c r="L12" s="5" t="str">
        <f t="shared" ref="L12:L15" si="11">IF(I12&gt;=4.51,"มากที่สุด",IF(I12&gt;=3.51,"มาก",IF(I12&gt;=2.51,"ปานกลาง",IF(I12&gt;=1.51,"น้อย",IF(I12&gt;=1,"น้อยที่สุด")))))</f>
        <v>ปานกลาง</v>
      </c>
    </row>
    <row r="13" spans="1:21" x14ac:dyDescent="0.2">
      <c r="A13" s="1">
        <v>3</v>
      </c>
      <c r="B13" s="4" t="s">
        <v>19</v>
      </c>
      <c r="C13" s="5">
        <v>2</v>
      </c>
      <c r="D13" s="5">
        <v>3</v>
      </c>
      <c r="E13" s="5">
        <v>0</v>
      </c>
      <c r="F13" s="5">
        <v>0</v>
      </c>
      <c r="G13" s="5">
        <v>0</v>
      </c>
      <c r="H13" s="5">
        <f t="shared" si="7"/>
        <v>5</v>
      </c>
      <c r="I13" s="8">
        <f t="shared" si="8"/>
        <v>4.4000000000000004</v>
      </c>
      <c r="J13" s="8">
        <f t="shared" si="9"/>
        <v>88</v>
      </c>
      <c r="K13" s="8">
        <f t="shared" si="10"/>
        <v>0.48989794855663404</v>
      </c>
      <c r="L13" s="5" t="str">
        <f t="shared" si="11"/>
        <v>มาก</v>
      </c>
    </row>
    <row r="14" spans="1:21" x14ac:dyDescent="0.2">
      <c r="A14" s="1">
        <v>4</v>
      </c>
      <c r="B14" s="4" t="s">
        <v>20</v>
      </c>
      <c r="C14" s="5">
        <v>0</v>
      </c>
      <c r="D14" s="5">
        <v>3</v>
      </c>
      <c r="E14" s="5">
        <v>2</v>
      </c>
      <c r="F14" s="5">
        <v>0</v>
      </c>
      <c r="G14" s="5">
        <v>0</v>
      </c>
      <c r="H14" s="5">
        <f t="shared" si="7"/>
        <v>5</v>
      </c>
      <c r="I14" s="8">
        <f t="shared" si="8"/>
        <v>3.6</v>
      </c>
      <c r="J14" s="8">
        <f t="shared" si="9"/>
        <v>72</v>
      </c>
      <c r="K14" s="8">
        <f t="shared" si="10"/>
        <v>0.48989794855663404</v>
      </c>
      <c r="L14" s="5" t="str">
        <f t="shared" si="11"/>
        <v>มาก</v>
      </c>
    </row>
    <row r="15" spans="1:21" x14ac:dyDescent="0.2">
      <c r="A15" s="13" t="s">
        <v>9</v>
      </c>
      <c r="B15" s="14"/>
      <c r="C15" s="7">
        <f>SUM(C11:C14)</f>
        <v>3</v>
      </c>
      <c r="D15" s="7">
        <f t="shared" ref="D15:H15" si="12">SUM(D11:D14)</f>
        <v>9</v>
      </c>
      <c r="E15" s="7">
        <f t="shared" si="12"/>
        <v>8</v>
      </c>
      <c r="F15" s="7">
        <f t="shared" si="12"/>
        <v>0</v>
      </c>
      <c r="G15" s="7">
        <f t="shared" si="12"/>
        <v>0</v>
      </c>
      <c r="H15" s="7">
        <f t="shared" si="12"/>
        <v>20</v>
      </c>
      <c r="I15" s="9">
        <f>AVERAGE(I11:I14)</f>
        <v>3.75</v>
      </c>
      <c r="J15" s="9">
        <f t="shared" ref="J15:K15" si="13">AVERAGE(J11:J14)</f>
        <v>75</v>
      </c>
      <c r="K15" s="9">
        <f t="shared" si="13"/>
        <v>0.56742346141747624</v>
      </c>
      <c r="L15" s="7" t="str">
        <f>IF(I15&gt;=4.51,"มากที่สุด",IF(I15&gt;=3.51,"มาก",IF(I15&gt;=2.51,"ปานกลาง",IF(I15&gt;=1.51,"น้อย",IF(I15&gt;=1,"น้อยที่สุด")))))</f>
        <v>มาก</v>
      </c>
    </row>
    <row r="16" spans="1:21" x14ac:dyDescent="0.2">
      <c r="A16" s="10" t="s">
        <v>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</row>
    <row r="17" spans="1:12" x14ac:dyDescent="0.2">
      <c r="A17" s="1">
        <v>1</v>
      </c>
      <c r="B17" s="4" t="s">
        <v>21</v>
      </c>
      <c r="C17" s="5">
        <v>1</v>
      </c>
      <c r="D17" s="5">
        <v>3</v>
      </c>
      <c r="E17" s="5">
        <v>1</v>
      </c>
      <c r="F17" s="5">
        <v>0</v>
      </c>
      <c r="G17" s="5">
        <v>0</v>
      </c>
      <c r="H17" s="5">
        <f>SUM(C17:G17)</f>
        <v>5</v>
      </c>
      <c r="I17" s="8">
        <f>((5*C17)+(4*D17)+(3*E17)+(2*F17)+(1*G17))/H17</f>
        <v>4</v>
      </c>
      <c r="J17" s="8">
        <f>((5*C17)+(4*D17)+(3*E17)+(2*F17)+(1*G17))*100/(H17*5)</f>
        <v>80</v>
      </c>
      <c r="K17" s="8">
        <f>SQRT(((25*C17)+(16*D17)+(9*E17)+(4*F17)+(1*G17))/H17-(I17^2))</f>
        <v>0.63245553203367477</v>
      </c>
      <c r="L17" s="5" t="str">
        <f>IF(I17&gt;=4.51,"มากที่สุด",IF(I17&gt;=3.51,"มาก",IF(I17&gt;=2.51,"ปานกลาง",IF(I17&gt;=1.51,"น้อย",IF(I17&gt;=1,"น้อยที่สุด")))))</f>
        <v>มาก</v>
      </c>
    </row>
    <row r="18" spans="1:12" x14ac:dyDescent="0.2">
      <c r="A18" s="1">
        <v>2</v>
      </c>
      <c r="B18" s="4" t="s">
        <v>22</v>
      </c>
      <c r="C18" s="5">
        <v>1</v>
      </c>
      <c r="D18" s="5">
        <v>3</v>
      </c>
      <c r="E18" s="5">
        <v>1</v>
      </c>
      <c r="F18" s="5">
        <v>0</v>
      </c>
      <c r="G18" s="5">
        <v>0</v>
      </c>
      <c r="H18" s="5">
        <f t="shared" ref="H18:H20" si="14">SUM(C18:G18)</f>
        <v>5</v>
      </c>
      <c r="I18" s="8">
        <f t="shared" ref="I18:I20" si="15">((5*C18)+(4*D18)+(3*E18)+(2*F18)+(1*G18))/H18</f>
        <v>4</v>
      </c>
      <c r="J18" s="8">
        <f t="shared" ref="J18:J20" si="16">((5*C18)+(4*D18)+(3*E18)+(2*F18)+(1*G18))*100/(H18*5)</f>
        <v>80</v>
      </c>
      <c r="K18" s="8">
        <f t="shared" ref="K18:K20" si="17">SQRT(((25*C18)+(16*D18)+(9*E18)+(4*F18)+(1*G18))/H18-(I18^2))</f>
        <v>0.63245553203367477</v>
      </c>
      <c r="L18" s="5" t="str">
        <f t="shared" ref="L18:L21" si="18">IF(I18&gt;=4.51,"มากที่สุด",IF(I18&gt;=3.51,"มาก",IF(I18&gt;=2.51,"ปานกลาง",IF(I18&gt;=1.51,"น้อย",IF(I18&gt;=1,"น้อยที่สุด")))))</f>
        <v>มาก</v>
      </c>
    </row>
    <row r="19" spans="1:12" x14ac:dyDescent="0.2">
      <c r="A19" s="1">
        <v>3</v>
      </c>
      <c r="B19" s="4" t="s">
        <v>23</v>
      </c>
      <c r="C19" s="5">
        <v>1</v>
      </c>
      <c r="D19" s="5">
        <v>4</v>
      </c>
      <c r="E19" s="5">
        <v>0</v>
      </c>
      <c r="F19" s="5">
        <v>0</v>
      </c>
      <c r="G19" s="5">
        <v>0</v>
      </c>
      <c r="H19" s="5">
        <f t="shared" si="14"/>
        <v>5</v>
      </c>
      <c r="I19" s="8">
        <f t="shared" si="15"/>
        <v>4.2</v>
      </c>
      <c r="J19" s="8">
        <f t="shared" si="16"/>
        <v>84</v>
      </c>
      <c r="K19" s="8">
        <f t="shared" si="17"/>
        <v>0.40000000000000019</v>
      </c>
      <c r="L19" s="5" t="str">
        <f t="shared" si="18"/>
        <v>มาก</v>
      </c>
    </row>
    <row r="20" spans="1:12" x14ac:dyDescent="0.2">
      <c r="A20" s="1">
        <v>4</v>
      </c>
      <c r="B20" s="4" t="s">
        <v>24</v>
      </c>
      <c r="C20" s="5">
        <v>3</v>
      </c>
      <c r="D20" s="5">
        <v>2</v>
      </c>
      <c r="E20" s="5">
        <v>0</v>
      </c>
      <c r="F20" s="5">
        <v>0</v>
      </c>
      <c r="G20" s="5">
        <v>0</v>
      </c>
      <c r="H20" s="5">
        <f t="shared" si="14"/>
        <v>5</v>
      </c>
      <c r="I20" s="8">
        <f t="shared" si="15"/>
        <v>4.5999999999999996</v>
      </c>
      <c r="J20" s="8">
        <f t="shared" si="16"/>
        <v>92</v>
      </c>
      <c r="K20" s="8">
        <f t="shared" si="17"/>
        <v>0.48989794855663765</v>
      </c>
      <c r="L20" s="5" t="str">
        <f t="shared" si="18"/>
        <v>มากที่สุด</v>
      </c>
    </row>
    <row r="21" spans="1:12" x14ac:dyDescent="0.2">
      <c r="A21" s="13" t="s">
        <v>9</v>
      </c>
      <c r="B21" s="14"/>
      <c r="C21" s="7">
        <f>SUM(C17:C20)</f>
        <v>6</v>
      </c>
      <c r="D21" s="7">
        <f t="shared" ref="D21:H21" si="19">SUM(D17:D20)</f>
        <v>12</v>
      </c>
      <c r="E21" s="7">
        <f t="shared" si="19"/>
        <v>2</v>
      </c>
      <c r="F21" s="7">
        <f t="shared" si="19"/>
        <v>0</v>
      </c>
      <c r="G21" s="7">
        <f t="shared" si="19"/>
        <v>0</v>
      </c>
      <c r="H21" s="7">
        <f t="shared" si="19"/>
        <v>20</v>
      </c>
      <c r="I21" s="9">
        <f>AVERAGE(I17:I20)</f>
        <v>4.1999999999999993</v>
      </c>
      <c r="J21" s="9">
        <f t="shared" ref="J21:K21" si="20">AVERAGE(J17:J20)</f>
        <v>84</v>
      </c>
      <c r="K21" s="9">
        <f t="shared" si="20"/>
        <v>0.53870225315599685</v>
      </c>
      <c r="L21" s="7" t="str">
        <f t="shared" si="18"/>
        <v>มาก</v>
      </c>
    </row>
  </sheetData>
  <mergeCells count="16">
    <mergeCell ref="S2:U2"/>
    <mergeCell ref="A21:B21"/>
    <mergeCell ref="A1:L1"/>
    <mergeCell ref="A2:A3"/>
    <mergeCell ref="B2:B3"/>
    <mergeCell ref="C2:G2"/>
    <mergeCell ref="H2:H3"/>
    <mergeCell ref="I2:I3"/>
    <mergeCell ref="J2:J3"/>
    <mergeCell ref="K2:K3"/>
    <mergeCell ref="L2:L3"/>
    <mergeCell ref="A4:L4"/>
    <mergeCell ref="A9:B9"/>
    <mergeCell ref="A10:L10"/>
    <mergeCell ref="A15:B15"/>
    <mergeCell ref="A16:L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ผลการประเมิน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PC-003</dc:creator>
  <cp:lastModifiedBy>PC-003</cp:lastModifiedBy>
  <dcterms:created xsi:type="dcterms:W3CDTF">2021-10-09T08:13:29Z</dcterms:created>
  <dcterms:modified xsi:type="dcterms:W3CDTF">2021-10-09T09:20:56Z</dcterms:modified>
</cp:coreProperties>
</file>